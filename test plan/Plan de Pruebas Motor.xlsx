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btgroupcloud-my.sharepoint.com/personal/guillermo_ferraridelsel_bt_com/Documents/Desktop/TESTING/"/>
    </mc:Choice>
  </mc:AlternateContent>
  <xr:revisionPtr revIDLastSave="57" documentId="13_ncr:1_{3137AF2A-617A-485B-B353-6912226DABC4}" xr6:coauthVersionLast="47" xr6:coauthVersionMax="47" xr10:uidLastSave="{E86F862A-8075-4B4D-AA7C-1E7338867139}"/>
  <bookViews>
    <workbookView xWindow="-120" yWindow="-120" windowWidth="20730" windowHeight="11040" xr2:uid="{00000000-000D-0000-FFFF-FFFF00000000}"/>
  </bookViews>
  <sheets>
    <sheet name="Casos de prueba" sheetId="2" r:id="rId1"/>
    <sheet name="Resumen" sheetId="1" r:id="rId2"/>
    <sheet name="desplegable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E7" i="1"/>
  <c r="B7" i="1"/>
  <c r="B11" i="1" s="1"/>
  <c r="E6" i="1"/>
  <c r="B6" i="1"/>
  <c r="E5" i="1"/>
  <c r="B5" i="1"/>
  <c r="E4" i="1"/>
  <c r="B4" i="1"/>
</calcChain>
</file>

<file path=xl/sharedStrings.xml><?xml version="1.0" encoding="utf-8"?>
<sst xmlns="http://schemas.openxmlformats.org/spreadsheetml/2006/main" count="282" uniqueCount="169">
  <si>
    <t>Resumen del plan de pruebas QA</t>
  </si>
  <si>
    <t>Indicador</t>
  </si>
  <si>
    <t>Valor</t>
  </si>
  <si>
    <t>Prioridad</t>
  </si>
  <si>
    <t>Cantidad</t>
  </si>
  <si>
    <t>Total de casos</t>
  </si>
  <si>
    <t>Crítica</t>
  </si>
  <si>
    <t>Prioridad crítica</t>
  </si>
  <si>
    <t>Alta</t>
  </si>
  <si>
    <t>Prioridad alta</t>
  </si>
  <si>
    <t>Media</t>
  </si>
  <si>
    <t>Casos ejecutados</t>
  </si>
  <si>
    <t>Baja</t>
  </si>
  <si>
    <t>Casos aprobados</t>
  </si>
  <si>
    <t>Casos fallidos</t>
  </si>
  <si>
    <t>Casos bloqueados</t>
  </si>
  <si>
    <t>Porcentaje de aprobación</t>
  </si>
  <si>
    <t>Uso de la planilla</t>
  </si>
  <si>
    <t>1.</t>
  </si>
  <si>
    <t>Completar los valores reales de TL y TM en la documentación del proyecto.</t>
  </si>
  <si>
    <t>2.</t>
  </si>
  <si>
    <t>Ejecutar cada caso y actualizar Estado y Resultado de ejecución.</t>
  </si>
  <si>
    <t>3.</t>
  </si>
  <si>
    <t>Registrar defectos y adjuntar enlaces o referencias en Evidencia / Observaciones.</t>
  </si>
  <si>
    <t>4.</t>
  </si>
  <si>
    <t>Revisar el resumen para controlar avance, bloqueos y porcentaje de aprobación.</t>
  </si>
  <si>
    <t>Plan de pruebas QA — Control de temperatura de motor y línea</t>
  </si>
  <si>
    <t>TL = límite de temperatura de línea | TM = límite de temperatura de motor | Se asume que la alarma se activa cuando la medición es igual o superior al límite.</t>
  </si>
  <si>
    <t>ID</t>
  </si>
  <si>
    <t>Requisito</t>
  </si>
  <si>
    <t>Caso de prueba</t>
  </si>
  <si>
    <t>Tipo</t>
  </si>
  <si>
    <t>Datos de prueba</t>
  </si>
  <si>
    <t>Pasos</t>
  </si>
  <si>
    <t>Resultado esperado</t>
  </si>
  <si>
    <t>Estado</t>
  </si>
  <si>
    <t>Resultado de ejecución</t>
  </si>
  <si>
    <t>Severidad del defecto</t>
  </si>
  <si>
    <t>ID de defecto</t>
  </si>
  <si>
    <t>Evidencia / Observaciones</t>
  </si>
  <si>
    <t>CP-01</t>
  </si>
  <si>
    <t>Funcionamiento normal</t>
  </si>
  <si>
    <t>Funcional</t>
  </si>
  <si>
    <t>1. Establecer ambas temperaturas por debajo de sus límites.
2. Mantenerlas estables.
3. Observar pantalla y sirena.</t>
  </si>
  <si>
    <t>No se muestran alarmas de calentamiento y la sirena permanece apagada.</t>
  </si>
  <si>
    <t>No ejecutado</t>
  </si>
  <si>
    <t>Pendiente</t>
  </si>
  <si>
    <t>Sin defecto</t>
  </si>
  <si>
    <t>CP-02</t>
  </si>
  <si>
    <t>Calentamiento exclusivo de la línea</t>
  </si>
  <si>
    <t>1. Mantener el motor por debajo de TM.
2. Elevar la línea hasta TL o más.
3. Verificar pantalla y sirena.</t>
  </si>
  <si>
    <t>Se muestra alarma de calentamiento de línea; no aparece alarma de motor; la sirena permanece apagada.</t>
  </si>
  <si>
    <t>CP-03</t>
  </si>
  <si>
    <t>Calentamiento exclusivo del motor</t>
  </si>
  <si>
    <t>1. Mantener la línea por debajo de TL.
2. Elevar el motor hasta TM o más.
3. Verificar pantalla y sirena.</t>
  </si>
  <si>
    <t>Se muestra alarma de calentamiento del motor y se activa la sirena; no aparece alarma de línea.</t>
  </si>
  <si>
    <t>CP-04</t>
  </si>
  <si>
    <t>Calentamiento simultáneo de motor y línea</t>
  </si>
  <si>
    <t>1. Elevar ambas temperaturas por encima de sus límites.
2. Observar alarmas.
3. Verificar sirena.</t>
  </si>
  <si>
    <t>Se muestran ambas alarmas sin ocultarse entre sí y la sirena se activa por el calentamiento del motor.</t>
  </si>
  <si>
    <t>CP-05</t>
  </si>
  <si>
    <t>Línea inmediatamente por debajo del límite</t>
  </si>
  <si>
    <t>Límites</t>
  </si>
  <si>
    <t>1. Aplicar el valor inmediatamente inferior a TL.
2. Observar el sistema.</t>
  </si>
  <si>
    <t>No se activa la alarma de línea y la sirena permanece apagada.</t>
  </si>
  <si>
    <t>CP-06</t>
  </si>
  <si>
    <t>Línea exactamente en el límite</t>
  </si>
  <si>
    <t>1. Aplicar exactamente TL.
2. Observar el sistema.</t>
  </si>
  <si>
    <t>Se activa la alarma de calentamiento de línea y la sirena permanece apagada.</t>
  </si>
  <si>
    <t>CP-07</t>
  </si>
  <si>
    <t>Línea inmediatamente por encima del límite</t>
  </si>
  <si>
    <t>1. Aplicar el valor inmediatamente superior a TL.
2. Observar el sistema.</t>
  </si>
  <si>
    <t>CP-08</t>
  </si>
  <si>
    <t>Motor inmediatamente por debajo del límite</t>
  </si>
  <si>
    <t>1. Aplicar el valor inmediatamente inferior a TM.
2. Observar pantalla y sirena.</t>
  </si>
  <si>
    <t>No se activa la alarma de motor y la sirena permanece apagada.</t>
  </si>
  <si>
    <t>CP-09</t>
  </si>
  <si>
    <t>Motor exactamente en el límite</t>
  </si>
  <si>
    <t>1. Aplicar exactamente TM.
2. Observar pantalla y sirena.</t>
  </si>
  <si>
    <t>Se activa la alarma de motor y la sirena se enciende.</t>
  </si>
  <si>
    <t>CP-10</t>
  </si>
  <si>
    <t>Motor inmediatamente por encima del límite</t>
  </si>
  <si>
    <t>1. Aplicar el valor inmediatamente superior a TM.
2. Observar pantalla y sirena.</t>
  </si>
  <si>
    <t>CP-11</t>
  </si>
  <si>
    <t>Recuperación de la temperatura de línea</t>
  </si>
  <si>
    <t>Recuperación</t>
  </si>
  <si>
    <t>1. Generar alarma de línea.
2. Reducir la temperatura por debajo de TL.
3. Observar el estado.</t>
  </si>
  <si>
    <t>La alarma desaparece o cambia al estado definido; la sirena permanece apagada.</t>
  </si>
  <si>
    <t>CP-12</t>
  </si>
  <si>
    <t>Recuperación de la temperatura del motor</t>
  </si>
  <si>
    <t>1. Generar alarma de motor.
2. Reducir la temperatura por debajo de TM.
3. Observar alarma y sirena.</t>
  </si>
  <si>
    <t>La alarma se restablece según diseño y la sirena se apaga automática o manualmente conforme al requisito.</t>
  </si>
  <si>
    <t>Robustez</t>
  </si>
  <si>
    <t>CP-14</t>
  </si>
  <si>
    <t>Fallo del sensor del motor</t>
  </si>
  <si>
    <t>1. Simular el fallo del sensor del motor.
2. Observar pantalla y sirena.</t>
  </si>
  <si>
    <t>CP-15</t>
  </si>
  <si>
    <t>Fallo del sensor de línea</t>
  </si>
  <si>
    <t>1. Simular el fallo del sensor de línea.
2. Observar pantalla y sirena.</t>
  </si>
  <si>
    <t>Interfaz</t>
  </si>
  <si>
    <t>Rendimiento</t>
  </si>
  <si>
    <t>Resultado</t>
  </si>
  <si>
    <t>Severidad</t>
  </si>
  <si>
    <t>En ejecución</t>
  </si>
  <si>
    <t>Aprobado</t>
  </si>
  <si>
    <t>Ejecutado</t>
  </si>
  <si>
    <t>Fallido</t>
  </si>
  <si>
    <t>Bloqueado</t>
  </si>
  <si>
    <t>No aplicable</t>
  </si>
  <si>
    <t>Seguridad</t>
  </si>
  <si>
    <t>Sensor desconectado, dato vacío, pérdida de comunicación o fuera de rango físico</t>
  </si>
  <si>
    <t>Alarma de sensor? No se activa alarma de motor</t>
  </si>
  <si>
    <t>Alrma de sensor?No se activa alarma de linea</t>
  </si>
  <si>
    <t>Precondicion gral</t>
  </si>
  <si>
    <t>Precondición particula</t>
  </si>
  <si>
    <t>Sistema encendido</t>
  </si>
  <si>
    <t>;; motor a temperatura normal.</t>
  </si>
  <si>
    <t>;; línea a temperatura normal.</t>
  </si>
  <si>
    <t>;; sensores funcionales.</t>
  </si>
  <si>
    <t>posibilidad de desconectar o simular el sensor.</t>
  </si>
  <si>
    <t>Sistema apagado</t>
  </si>
  <si>
    <t>Arranque con sobretemperatura de línea existente</t>
  </si>
  <si>
    <t>Arranque con sobretemperatura de motor existente</t>
  </si>
  <si>
    <t>temperatura de línea previamente por encima del límite.</t>
  </si>
  <si>
    <t>temperatura de motor previamente por encima del límite.</t>
  </si>
  <si>
    <t>1. Configurar sobretemperatura línea
2. Encender el sistema.
3. Observar detección inicial.</t>
  </si>
  <si>
    <t>1. Configurar sobretemperatura motor
2. Encender el sistema.
3. Observar detección inicial.</t>
  </si>
  <si>
    <t>La condición se detecta al arrancar sin requerir un nuevo cruce del límite. Suena alarma de linea</t>
  </si>
  <si>
    <t>La condición se detecta al arrancar sin requerir un nuevo cruce del límite. Suena alarma de motor y sirena</t>
  </si>
  <si>
    <t>CP-13</t>
  </si>
  <si>
    <t>CP-16</t>
  </si>
  <si>
    <t>CP-17</t>
  </si>
  <si>
    <t>;Límite TLM configurado; resolución mínima del sensor conocida.</t>
  </si>
  <si>
    <t>. Límite TLM configurado.</t>
  </si>
  <si>
    <t>. Límite TLM configurado; resolución mínima conocida.</t>
  </si>
  <si>
    <t>Reducir T línea desde ≥ TLM hasta &lt; TLM.</t>
  </si>
  <si>
    <t xml:space="preserve"> T línea ≥ TLM. </t>
  </si>
  <si>
    <t>sensores operativos; límites TLM y TMM configurados.</t>
  </si>
  <si>
    <t>T línea &lt; TLM; T motor &lt; TMM.</t>
  </si>
  <si>
    <t>T línea ≥ TLM; T motor &lt; TMM.</t>
  </si>
  <si>
    <t>T línea &lt; TLM; T motor ≥ TMM.</t>
  </si>
  <si>
    <t>T línea ≥ TLM; T motor ≥ TMM.</t>
  </si>
  <si>
    <t>T línea = TLM − resolución mínima; T motor &lt; TMM.</t>
  </si>
  <si>
    <t>T línea = TLM; T motor &lt; TMM.</t>
  </si>
  <si>
    <t>T línea = TLM + resolución mínima; T motor &lt; TMM.</t>
  </si>
  <si>
    <t>. Límite TMM configurado; resolución mínima conocida.</t>
  </si>
  <si>
    <t>T motor = TMM − resolución mínima; T línea &lt; TLM.</t>
  </si>
  <si>
    <t>. Límite TMM configurado.</t>
  </si>
  <si>
    <t>T motor = TMM; T línea &lt; TLM.</t>
  </si>
  <si>
    <t>Límite TMM configurado; resolución mínima conocida.</t>
  </si>
  <si>
    <t>T motor = TMM + resolución mínima; T línea &lt; TLM.</t>
  </si>
  <si>
    <t xml:space="preserve"> TLM&gt; TLMM Alarma de línea activa; motor por debajo de TMM.</t>
  </si>
  <si>
    <t>TMM &gt; TMMM Alarma de motor activa y sirena encendida.</t>
  </si>
  <si>
    <t>Reducir T motor desde ≥ TMM hasta &lt; TMM.</t>
  </si>
  <si>
    <t>T motor ≥ TMM.</t>
  </si>
  <si>
    <t>Pos Condicion</t>
  </si>
  <si>
    <t>Todas las alarmas siguen apagadas</t>
  </si>
  <si>
    <t>La alarma de linea sigue encendida
Las alarmas de motor permanece apagada</t>
  </si>
  <si>
    <t>Las alarmas de motor permaneces encendidas
La alarma de linea permanece apagada</t>
  </si>
  <si>
    <t>Todas la alarmas permanecen encendidas</t>
  </si>
  <si>
    <t>Todas la alarmas apagadas</t>
  </si>
  <si>
    <t>alarma de linea activada</t>
  </si>
  <si>
    <t>alarmas de motor apagadas</t>
  </si>
  <si>
    <t>alarmas del motor encendidas</t>
  </si>
  <si>
    <t>alarma de motor encendida. Alarma de lnea apagada</t>
  </si>
  <si>
    <t>Alarmas apagadas</t>
  </si>
  <si>
    <t>alarmas apagadas</t>
  </si>
  <si>
    <t>Indicador de falla de sensor. Ninguna alarma activa</t>
  </si>
  <si>
    <t>alarmas de motor activadas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</si>
</sst>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i/>
      <sz val="11"/>
      <color rgb="FF7F6000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1"/>
      <name val="Carlito"/>
    </font>
    <font>
      <sz val="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9" fontId="0" fillId="0" borderId="11" xfId="0" applyNumberForma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6" borderId="0" xfId="0" applyFill="1" applyAlignment="1">
      <alignment vertical="top" wrapText="1"/>
    </xf>
    <xf numFmtId="0" fontId="0" fillId="6" borderId="0" xfId="0" applyFill="1" applyAlignment="1">
      <alignment horizontal="center" vertical="top" wrapText="1"/>
    </xf>
    <xf numFmtId="0" fontId="0" fillId="6" borderId="0" xfId="0" applyFill="1" applyAlignment="1">
      <alignment horizontal="left"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4" fillId="5" borderId="0" xfId="0" applyFont="1" applyFill="1" applyAlignment="1">
      <alignment horizontal="left" vertical="center"/>
    </xf>
  </cellXfs>
  <cellStyles count="1">
    <cellStyle name="Normal" xfId="0" builtinId="0"/>
  </cellStyles>
  <dxfs count="8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351C75"/>
      </font>
      <fill>
        <patternFill patternType="solid">
          <bgColor rgb="FFD9D2E9"/>
        </patternFill>
      </fill>
    </dxf>
    <dxf>
      <font>
        <color rgb="FF7F60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rPr lang="es-AR"/>
              <a:t>Casos por prioridad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cat>
            <c:strRef>
              <c:f>Resumen!$D$4:$D$7</c:f>
              <c:strCache>
                <c:ptCount val="4"/>
                <c:pt idx="0">
                  <c:v>Crítica</c:v>
                </c:pt>
                <c:pt idx="1">
                  <c:v>Alta</c:v>
                </c:pt>
                <c:pt idx="2">
                  <c:v>Media</c:v>
                </c:pt>
                <c:pt idx="3">
                  <c:v>Baja</c:v>
                </c:pt>
              </c:strCache>
            </c:strRef>
          </c:cat>
          <c:val>
            <c:numRef>
              <c:f>Resumen!$E$4:$E$7</c:f>
              <c:numCache>
                <c:formatCode>General</c:formatCode>
                <c:ptCount val="4"/>
                <c:pt idx="0">
                  <c:v>9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3-4D04-9FA0-E1C6E4595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CasesTable" displayName="TestCasesTable" ref="A4:P21">
  <tableColumns count="16">
    <tableColumn id="1" xr3:uid="{00000000-0010-0000-0000-000001000000}" name="ID"/>
    <tableColumn id="2" xr3:uid="{00000000-0010-0000-0000-000002000000}" name="Requisito"/>
    <tableColumn id="3" xr3:uid="{00000000-0010-0000-0000-000003000000}" name="Caso de prueba" dataDxfId="7"/>
    <tableColumn id="4" xr3:uid="{00000000-0010-0000-0000-000004000000}" name="Tipo"/>
    <tableColumn id="5" xr3:uid="{00000000-0010-0000-0000-000005000000}" name="Prioridad"/>
    <tableColumn id="15" xr3:uid="{34A1A06F-72C5-4F17-8659-9A283197EAC3}" name="Precondicion gral" dataDxfId="6"/>
    <tableColumn id="6" xr3:uid="{00000000-0010-0000-0000-000006000000}" name="Precondición particula"/>
    <tableColumn id="7" xr3:uid="{00000000-0010-0000-0000-000007000000}" name="Datos de prueba"/>
    <tableColumn id="8" xr3:uid="{00000000-0010-0000-0000-000008000000}" name="Pasos"/>
    <tableColumn id="9" xr3:uid="{00000000-0010-0000-0000-000009000000}" name="Resultado esperado"/>
    <tableColumn id="16" xr3:uid="{62962FE1-9006-495B-8A58-24C0B858B452}" name="Pos Condicion" dataDxfId="5"/>
    <tableColumn id="10" xr3:uid="{00000000-0010-0000-0000-00000A000000}" name="Estado"/>
    <tableColumn id="11" xr3:uid="{00000000-0010-0000-0000-00000B000000}" name="Resultado de ejecución"/>
    <tableColumn id="12" xr3:uid="{00000000-0010-0000-0000-00000C000000}" name="Severidad del defecto"/>
    <tableColumn id="13" xr3:uid="{00000000-0010-0000-0000-00000D000000}" name="ID de defecto"/>
    <tableColumn id="14" xr3:uid="{00000000-0010-0000-0000-00000E000000}" name="Evidencia / 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tabSelected="1" topLeftCell="A2" workbookViewId="0">
      <selection activeCell="D5" sqref="D5"/>
    </sheetView>
  </sheetViews>
  <sheetFormatPr baseColWidth="10" defaultColWidth="9" defaultRowHeight="14.25"/>
  <cols>
    <col min="1" max="1" width="10" customWidth="1"/>
    <col min="2" max="2" width="12" customWidth="1"/>
    <col min="3" max="3" width="30" customWidth="1"/>
    <col min="4" max="4" width="15" customWidth="1"/>
    <col min="5" max="6" width="12" customWidth="1"/>
    <col min="7" max="7" width="31" customWidth="1"/>
    <col min="8" max="8" width="28" customWidth="1"/>
    <col min="9" max="9" width="39" customWidth="1"/>
    <col min="10" max="10" width="42" customWidth="1"/>
    <col min="11" max="11" width="31.25" customWidth="1"/>
    <col min="12" max="12" width="16" customWidth="1"/>
    <col min="13" max="13" width="19" customWidth="1"/>
    <col min="14" max="14" width="20" customWidth="1"/>
    <col min="15" max="15" width="14" customWidth="1"/>
    <col min="16" max="16" width="30" customWidth="1"/>
  </cols>
  <sheetData>
    <row r="1" spans="1:16" ht="30" customHeight="1">
      <c r="A1" s="27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33.950000000000003" customHeight="1">
      <c r="A2" s="28" t="s">
        <v>27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4" spans="1:16" ht="30">
      <c r="A4" s="1" t="s">
        <v>28</v>
      </c>
      <c r="B4" s="2" t="s">
        <v>29</v>
      </c>
      <c r="C4" s="2" t="s">
        <v>30</v>
      </c>
      <c r="D4" s="2" t="s">
        <v>31</v>
      </c>
      <c r="E4" s="2" t="s">
        <v>3</v>
      </c>
      <c r="F4" s="2" t="s">
        <v>113</v>
      </c>
      <c r="G4" s="2" t="s">
        <v>114</v>
      </c>
      <c r="H4" s="2" t="s">
        <v>32</v>
      </c>
      <c r="I4" s="2" t="s">
        <v>33</v>
      </c>
      <c r="J4" s="2" t="s">
        <v>34</v>
      </c>
      <c r="K4" s="2" t="s">
        <v>155</v>
      </c>
      <c r="L4" s="2" t="s">
        <v>35</v>
      </c>
      <c r="M4" s="2" t="s">
        <v>36</v>
      </c>
      <c r="N4" s="2" t="s">
        <v>37</v>
      </c>
      <c r="O4" s="2" t="s">
        <v>38</v>
      </c>
      <c r="P4" s="3" t="s">
        <v>39</v>
      </c>
    </row>
    <row r="5" spans="1:16" ht="57">
      <c r="A5" s="13" t="s">
        <v>40</v>
      </c>
      <c r="B5" s="14"/>
      <c r="C5" s="22" t="s">
        <v>41</v>
      </c>
      <c r="D5" s="14" t="s">
        <v>42</v>
      </c>
      <c r="E5" s="14" t="s">
        <v>6</v>
      </c>
      <c r="F5" s="14" t="s">
        <v>115</v>
      </c>
      <c r="G5" s="5" t="s">
        <v>137</v>
      </c>
      <c r="H5" s="5" t="s">
        <v>138</v>
      </c>
      <c r="I5" s="5" t="s">
        <v>43</v>
      </c>
      <c r="J5" s="5" t="s">
        <v>44</v>
      </c>
      <c r="K5" s="5" t="s">
        <v>156</v>
      </c>
      <c r="L5" s="14" t="s">
        <v>45</v>
      </c>
      <c r="M5" s="14" t="s">
        <v>46</v>
      </c>
      <c r="N5" s="14" t="s">
        <v>47</v>
      </c>
      <c r="O5" s="14"/>
      <c r="P5" s="6"/>
    </row>
    <row r="6" spans="1:16" ht="42.75">
      <c r="A6" s="15" t="s">
        <v>48</v>
      </c>
      <c r="B6" s="16"/>
      <c r="C6" s="23" t="s">
        <v>49</v>
      </c>
      <c r="D6" s="16" t="s">
        <v>42</v>
      </c>
      <c r="E6" s="16" t="s">
        <v>6</v>
      </c>
      <c r="F6" s="16" t="s">
        <v>115</v>
      </c>
      <c r="G6" s="8" t="s">
        <v>116</v>
      </c>
      <c r="H6" s="8" t="s">
        <v>139</v>
      </c>
      <c r="I6" s="8" t="s">
        <v>50</v>
      </c>
      <c r="J6" s="8" t="s">
        <v>51</v>
      </c>
      <c r="K6" s="8" t="s">
        <v>157</v>
      </c>
      <c r="L6" s="16" t="s">
        <v>45</v>
      </c>
      <c r="M6" s="16" t="s">
        <v>46</v>
      </c>
      <c r="N6" s="16" t="s">
        <v>47</v>
      </c>
      <c r="O6" s="16"/>
      <c r="P6" s="9"/>
    </row>
    <row r="7" spans="1:16" ht="57">
      <c r="A7" s="13" t="s">
        <v>52</v>
      </c>
      <c r="B7" s="16"/>
      <c r="C7" s="23" t="s">
        <v>53</v>
      </c>
      <c r="D7" s="16" t="s">
        <v>42</v>
      </c>
      <c r="E7" s="16" t="s">
        <v>6</v>
      </c>
      <c r="F7" s="16" t="s">
        <v>115</v>
      </c>
      <c r="G7" s="8" t="s">
        <v>117</v>
      </c>
      <c r="H7" s="8" t="s">
        <v>140</v>
      </c>
      <c r="I7" s="8" t="s">
        <v>54</v>
      </c>
      <c r="J7" s="8" t="s">
        <v>55</v>
      </c>
      <c r="K7" s="8" t="s">
        <v>158</v>
      </c>
      <c r="L7" s="16" t="s">
        <v>45</v>
      </c>
      <c r="M7" s="16" t="s">
        <v>46</v>
      </c>
      <c r="N7" s="16" t="s">
        <v>47</v>
      </c>
      <c r="O7" s="16"/>
      <c r="P7" s="9"/>
    </row>
    <row r="8" spans="1:16" ht="57">
      <c r="A8" s="15" t="s">
        <v>56</v>
      </c>
      <c r="B8" s="16"/>
      <c r="C8" s="23" t="s">
        <v>57</v>
      </c>
      <c r="D8" s="16" t="s">
        <v>42</v>
      </c>
      <c r="E8" s="16" t="s">
        <v>6</v>
      </c>
      <c r="F8" s="16" t="s">
        <v>115</v>
      </c>
      <c r="G8" s="8" t="s">
        <v>118</v>
      </c>
      <c r="H8" s="8" t="s">
        <v>141</v>
      </c>
      <c r="I8" s="8" t="s">
        <v>58</v>
      </c>
      <c r="J8" s="8" t="s">
        <v>59</v>
      </c>
      <c r="K8" s="8" t="s">
        <v>159</v>
      </c>
      <c r="L8" s="16" t="s">
        <v>45</v>
      </c>
      <c r="M8" s="16" t="s">
        <v>46</v>
      </c>
      <c r="N8" s="16" t="s">
        <v>47</v>
      </c>
      <c r="O8" s="16"/>
      <c r="P8" s="9"/>
    </row>
    <row r="9" spans="1:16" ht="42.75">
      <c r="A9" s="13" t="s">
        <v>60</v>
      </c>
      <c r="B9" s="16"/>
      <c r="C9" s="23" t="s">
        <v>61</v>
      </c>
      <c r="D9" s="16" t="s">
        <v>62</v>
      </c>
      <c r="E9" s="16" t="s">
        <v>8</v>
      </c>
      <c r="F9" s="16" t="s">
        <v>115</v>
      </c>
      <c r="G9" s="8" t="s">
        <v>132</v>
      </c>
      <c r="H9" s="8" t="s">
        <v>142</v>
      </c>
      <c r="I9" s="8" t="s">
        <v>63</v>
      </c>
      <c r="J9" s="8" t="s">
        <v>64</v>
      </c>
      <c r="K9" s="8" t="s">
        <v>160</v>
      </c>
      <c r="L9" s="16" t="s">
        <v>45</v>
      </c>
      <c r="M9" s="16" t="s">
        <v>46</v>
      </c>
      <c r="N9" s="16" t="s">
        <v>47</v>
      </c>
      <c r="O9" s="16"/>
      <c r="P9" s="9"/>
    </row>
    <row r="10" spans="1:16" ht="28.5">
      <c r="A10" s="15" t="s">
        <v>65</v>
      </c>
      <c r="B10" s="16"/>
      <c r="C10" s="23" t="s">
        <v>66</v>
      </c>
      <c r="D10" s="16" t="s">
        <v>62</v>
      </c>
      <c r="E10" s="16" t="s">
        <v>8</v>
      </c>
      <c r="F10" s="16" t="s">
        <v>115</v>
      </c>
      <c r="G10" s="8" t="s">
        <v>133</v>
      </c>
      <c r="H10" s="8" t="s">
        <v>143</v>
      </c>
      <c r="I10" s="8" t="s">
        <v>67</v>
      </c>
      <c r="J10" s="8" t="s">
        <v>68</v>
      </c>
      <c r="K10" s="8" t="s">
        <v>161</v>
      </c>
      <c r="L10" s="16" t="s">
        <v>45</v>
      </c>
      <c r="M10" s="16" t="s">
        <v>46</v>
      </c>
      <c r="N10" s="16" t="s">
        <v>47</v>
      </c>
      <c r="O10" s="16"/>
      <c r="P10" s="9"/>
    </row>
    <row r="11" spans="1:16" ht="42.75">
      <c r="A11" s="13" t="s">
        <v>69</v>
      </c>
      <c r="B11" s="16"/>
      <c r="C11" s="23" t="s">
        <v>70</v>
      </c>
      <c r="D11" s="16" t="s">
        <v>62</v>
      </c>
      <c r="E11" s="16" t="s">
        <v>8</v>
      </c>
      <c r="F11" s="16" t="s">
        <v>115</v>
      </c>
      <c r="G11" s="8" t="s">
        <v>134</v>
      </c>
      <c r="H11" s="8" t="s">
        <v>144</v>
      </c>
      <c r="I11" s="8" t="s">
        <v>71</v>
      </c>
      <c r="J11" s="8" t="s">
        <v>68</v>
      </c>
      <c r="K11" s="8" t="s">
        <v>161</v>
      </c>
      <c r="L11" s="16" t="s">
        <v>45</v>
      </c>
      <c r="M11" s="16" t="s">
        <v>46</v>
      </c>
      <c r="N11" s="16" t="s">
        <v>47</v>
      </c>
      <c r="O11" s="16"/>
      <c r="P11" s="9"/>
    </row>
    <row r="12" spans="1:16" ht="42.75">
      <c r="A12" s="15" t="s">
        <v>72</v>
      </c>
      <c r="B12" s="16"/>
      <c r="C12" s="23" t="s">
        <v>73</v>
      </c>
      <c r="D12" s="16" t="s">
        <v>62</v>
      </c>
      <c r="E12" s="16" t="s">
        <v>8</v>
      </c>
      <c r="F12" s="16" t="s">
        <v>115</v>
      </c>
      <c r="G12" s="8" t="s">
        <v>145</v>
      </c>
      <c r="H12" s="8" t="s">
        <v>146</v>
      </c>
      <c r="I12" s="8" t="s">
        <v>74</v>
      </c>
      <c r="J12" s="8" t="s">
        <v>75</v>
      </c>
      <c r="K12" s="8" t="s">
        <v>162</v>
      </c>
      <c r="L12" s="16" t="s">
        <v>45</v>
      </c>
      <c r="M12" s="16" t="s">
        <v>46</v>
      </c>
      <c r="N12" s="16" t="s">
        <v>47</v>
      </c>
      <c r="O12" s="16"/>
      <c r="P12" s="9"/>
    </row>
    <row r="13" spans="1:16" ht="28.5">
      <c r="A13" s="13" t="s">
        <v>76</v>
      </c>
      <c r="B13" s="16"/>
      <c r="C13" s="23" t="s">
        <v>77</v>
      </c>
      <c r="D13" s="16" t="s">
        <v>62</v>
      </c>
      <c r="E13" s="16" t="s">
        <v>6</v>
      </c>
      <c r="F13" s="16" t="s">
        <v>115</v>
      </c>
      <c r="G13" s="8" t="s">
        <v>147</v>
      </c>
      <c r="H13" s="8" t="s">
        <v>148</v>
      </c>
      <c r="I13" s="8" t="s">
        <v>78</v>
      </c>
      <c r="J13" s="8" t="s">
        <v>79</v>
      </c>
      <c r="K13" s="8" t="s">
        <v>163</v>
      </c>
      <c r="L13" s="16" t="s">
        <v>45</v>
      </c>
      <c r="M13" s="16" t="s">
        <v>46</v>
      </c>
      <c r="N13" s="16" t="s">
        <v>47</v>
      </c>
      <c r="O13" s="16"/>
      <c r="P13" s="9"/>
    </row>
    <row r="14" spans="1:16" ht="42.75">
      <c r="A14" s="15" t="s">
        <v>80</v>
      </c>
      <c r="B14" s="16"/>
      <c r="C14" s="23" t="s">
        <v>81</v>
      </c>
      <c r="D14" s="16" t="s">
        <v>62</v>
      </c>
      <c r="E14" s="16" t="s">
        <v>6</v>
      </c>
      <c r="F14" s="16" t="s">
        <v>115</v>
      </c>
      <c r="G14" s="8" t="s">
        <v>149</v>
      </c>
      <c r="H14" s="8" t="s">
        <v>150</v>
      </c>
      <c r="I14" s="8" t="s">
        <v>82</v>
      </c>
      <c r="J14" s="8" t="s">
        <v>79</v>
      </c>
      <c r="K14" s="8" t="s">
        <v>164</v>
      </c>
      <c r="L14" s="16" t="s">
        <v>45</v>
      </c>
      <c r="M14" s="16" t="s">
        <v>46</v>
      </c>
      <c r="N14" s="16" t="s">
        <v>47</v>
      </c>
      <c r="O14" s="16"/>
      <c r="P14" s="9"/>
    </row>
    <row r="15" spans="1:16" ht="42.75">
      <c r="A15" s="13" t="s">
        <v>83</v>
      </c>
      <c r="B15" s="16"/>
      <c r="C15" s="23" t="s">
        <v>84</v>
      </c>
      <c r="D15" s="16" t="s">
        <v>85</v>
      </c>
      <c r="E15" s="16" t="s">
        <v>8</v>
      </c>
      <c r="F15" s="16" t="s">
        <v>115</v>
      </c>
      <c r="G15" s="8" t="s">
        <v>151</v>
      </c>
      <c r="H15" s="8" t="s">
        <v>135</v>
      </c>
      <c r="I15" s="8" t="s">
        <v>86</v>
      </c>
      <c r="J15" s="8" t="s">
        <v>87</v>
      </c>
      <c r="K15" s="8" t="s">
        <v>165</v>
      </c>
      <c r="L15" s="16" t="s">
        <v>45</v>
      </c>
      <c r="M15" s="16" t="s">
        <v>46</v>
      </c>
      <c r="N15" s="16" t="s">
        <v>47</v>
      </c>
      <c r="O15" s="16"/>
      <c r="P15" s="9"/>
    </row>
    <row r="16" spans="1:16" ht="42.75">
      <c r="A16" s="15" t="s">
        <v>88</v>
      </c>
      <c r="B16" s="16"/>
      <c r="C16" s="23" t="s">
        <v>89</v>
      </c>
      <c r="D16" s="16" t="s">
        <v>85</v>
      </c>
      <c r="E16" s="16" t="s">
        <v>6</v>
      </c>
      <c r="F16" s="16" t="s">
        <v>115</v>
      </c>
      <c r="G16" s="8" t="s">
        <v>152</v>
      </c>
      <c r="H16" s="8" t="s">
        <v>153</v>
      </c>
      <c r="I16" s="8" t="s">
        <v>90</v>
      </c>
      <c r="J16" s="8" t="s">
        <v>91</v>
      </c>
      <c r="K16" s="8" t="s">
        <v>166</v>
      </c>
      <c r="L16" s="16" t="s">
        <v>45</v>
      </c>
      <c r="M16" s="16" t="s">
        <v>46</v>
      </c>
      <c r="N16" s="16" t="s">
        <v>47</v>
      </c>
      <c r="O16" s="16"/>
      <c r="P16" s="9"/>
    </row>
    <row r="17" spans="1:16" ht="42.75">
      <c r="A17" s="13" t="s">
        <v>129</v>
      </c>
      <c r="B17" s="16"/>
      <c r="C17" s="23" t="s">
        <v>94</v>
      </c>
      <c r="D17" s="16" t="s">
        <v>92</v>
      </c>
      <c r="E17" s="16" t="s">
        <v>6</v>
      </c>
      <c r="F17" s="16" t="s">
        <v>115</v>
      </c>
      <c r="G17" s="8" t="s">
        <v>119</v>
      </c>
      <c r="H17" s="8" t="s">
        <v>110</v>
      </c>
      <c r="I17" s="8" t="s">
        <v>95</v>
      </c>
      <c r="J17" s="8" t="s">
        <v>111</v>
      </c>
      <c r="K17" s="8" t="s">
        <v>167</v>
      </c>
      <c r="L17" s="16" t="s">
        <v>45</v>
      </c>
      <c r="M17" s="16" t="s">
        <v>46</v>
      </c>
      <c r="N17" s="16" t="s">
        <v>47</v>
      </c>
      <c r="O17" s="16"/>
      <c r="P17" s="9"/>
    </row>
    <row r="18" spans="1:16" ht="42.75">
      <c r="A18" s="15" t="s">
        <v>93</v>
      </c>
      <c r="B18" s="16"/>
      <c r="C18" s="23" t="s">
        <v>97</v>
      </c>
      <c r="D18" s="16" t="s">
        <v>92</v>
      </c>
      <c r="E18" s="16" t="s">
        <v>8</v>
      </c>
      <c r="F18" s="16" t="s">
        <v>115</v>
      </c>
      <c r="G18" s="8" t="s">
        <v>119</v>
      </c>
      <c r="H18" s="8" t="s">
        <v>110</v>
      </c>
      <c r="I18" s="8" t="s">
        <v>98</v>
      </c>
      <c r="J18" s="8" t="s">
        <v>112</v>
      </c>
      <c r="K18" s="8" t="s">
        <v>167</v>
      </c>
      <c r="L18" s="16" t="s">
        <v>45</v>
      </c>
      <c r="M18" s="16" t="s">
        <v>46</v>
      </c>
      <c r="N18" s="16" t="s">
        <v>47</v>
      </c>
      <c r="O18" s="16"/>
      <c r="P18" s="9"/>
    </row>
    <row r="19" spans="1:16">
      <c r="A19" s="13" t="s">
        <v>96</v>
      </c>
      <c r="B19" s="16"/>
      <c r="C19" s="23"/>
      <c r="D19" s="16"/>
      <c r="E19" s="16"/>
      <c r="F19" s="16"/>
      <c r="G19" s="8"/>
      <c r="H19" s="8"/>
      <c r="I19" s="8"/>
      <c r="J19" s="8"/>
      <c r="K19" s="8"/>
      <c r="L19" s="16"/>
      <c r="M19" s="16"/>
      <c r="N19" s="16"/>
      <c r="O19" s="16"/>
      <c r="P19" s="9"/>
    </row>
    <row r="20" spans="1:16" ht="42.75">
      <c r="A20" s="15" t="s">
        <v>130</v>
      </c>
      <c r="B20" s="16"/>
      <c r="C20" s="23" t="s">
        <v>121</v>
      </c>
      <c r="D20" s="16" t="s">
        <v>85</v>
      </c>
      <c r="E20" s="16" t="s">
        <v>6</v>
      </c>
      <c r="F20" s="16" t="s">
        <v>120</v>
      </c>
      <c r="G20" s="8" t="s">
        <v>123</v>
      </c>
      <c r="H20" s="8" t="s">
        <v>136</v>
      </c>
      <c r="I20" s="8" t="s">
        <v>125</v>
      </c>
      <c r="J20" s="8" t="s">
        <v>127</v>
      </c>
      <c r="K20" s="8" t="s">
        <v>161</v>
      </c>
      <c r="L20" s="16" t="s">
        <v>45</v>
      </c>
      <c r="M20" s="16" t="s">
        <v>46</v>
      </c>
      <c r="N20" s="16" t="s">
        <v>47</v>
      </c>
      <c r="O20" s="16"/>
      <c r="P20" s="9"/>
    </row>
    <row r="21" spans="1:16" ht="42.75">
      <c r="A21" s="13" t="s">
        <v>131</v>
      </c>
      <c r="B21" s="25"/>
      <c r="C21" s="26" t="s">
        <v>122</v>
      </c>
      <c r="D21" s="25" t="s">
        <v>85</v>
      </c>
      <c r="E21" s="25" t="s">
        <v>8</v>
      </c>
      <c r="F21" s="25" t="s">
        <v>115</v>
      </c>
      <c r="G21" s="24" t="s">
        <v>124</v>
      </c>
      <c r="H21" s="24" t="s">
        <v>154</v>
      </c>
      <c r="I21" s="8" t="s">
        <v>126</v>
      </c>
      <c r="J21" s="8" t="s">
        <v>128</v>
      </c>
      <c r="K21" s="8" t="s">
        <v>168</v>
      </c>
      <c r="L21" s="16" t="s">
        <v>45</v>
      </c>
      <c r="M21" s="16" t="s">
        <v>46</v>
      </c>
      <c r="N21" s="16" t="s">
        <v>47</v>
      </c>
      <c r="O21" s="16"/>
      <c r="P21" s="9"/>
    </row>
  </sheetData>
  <mergeCells count="2">
    <mergeCell ref="A1:P1"/>
    <mergeCell ref="A2:P2"/>
  </mergeCells>
  <phoneticPr fontId="6" type="noConversion"/>
  <conditionalFormatting sqref="E5:F94">
    <cfRule type="expression" dxfId="4" priority="1">
      <formula>E5="Crítica"</formula>
    </cfRule>
    <cfRule type="expression" dxfId="3" priority="2">
      <formula>E5="Alta"</formula>
    </cfRule>
  </conditionalFormatting>
  <conditionalFormatting sqref="L5:L94">
    <cfRule type="expression" dxfId="2" priority="5">
      <formula>L5="Bloqueado"</formula>
    </cfRule>
  </conditionalFormatting>
  <conditionalFormatting sqref="M5:M94">
    <cfRule type="expression" dxfId="1" priority="3">
      <formula>M5="Aprobado"</formula>
    </cfRule>
    <cfRule type="expression" dxfId="0" priority="4">
      <formula>M5="Fallido"</formula>
    </cfRule>
  </conditionalFormatting>
  <pageMargins left="0.7" right="0.7" top="0.75" bottom="0.75" header="0.3" footer="0.3"/>
  <headerFooter>
    <oddHeader>&amp;R&amp;"Century Gothic"&amp;9&amp;K5514B4 General&amp;1#_x000D_</oddHeader>
    <oddFooter>&amp;R_x000D_&amp;1#&amp;"Century Gothic"&amp;9&amp;K5514B4 General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100-000000000000}">
          <x14:formula1>
            <xm:f>desplegables!$A$2:$A$8</xm:f>
          </x14:formula1>
          <xm:sqref>D5:D94</xm:sqref>
        </x14:dataValidation>
        <x14:dataValidation type="list" xr:uid="{00000000-0002-0000-0100-000001000000}">
          <x14:formula1>
            <xm:f>desplegables!$B$2:$B$5</xm:f>
          </x14:formula1>
          <xm:sqref>E5:F94</xm:sqref>
        </x14:dataValidation>
        <x14:dataValidation type="list" xr:uid="{00000000-0002-0000-0100-000002000000}">
          <x14:formula1>
            <xm:f>desplegables!$C$2:$C$5</xm:f>
          </x14:formula1>
          <xm:sqref>L5:L94</xm:sqref>
        </x14:dataValidation>
        <x14:dataValidation type="list" xr:uid="{00000000-0002-0000-0100-000003000000}">
          <x14:formula1>
            <xm:f>desplegables!$D$2:$D$5</xm:f>
          </x14:formula1>
          <xm:sqref>M5:M94</xm:sqref>
        </x14:dataValidation>
        <x14:dataValidation type="list" xr:uid="{00000000-0002-0000-0100-000004000000}">
          <x14:formula1>
            <xm:f>desplegables!$E$2:$E$6</xm:f>
          </x14:formula1>
          <xm:sqref>N5:N94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sqref="A1:H1"/>
    </sheetView>
  </sheetViews>
  <sheetFormatPr baseColWidth="10" defaultColWidth="9" defaultRowHeight="14.25"/>
  <cols>
    <col min="1" max="1" width="28" customWidth="1"/>
    <col min="2" max="2" width="68" customWidth="1"/>
    <col min="4" max="4" width="16" customWidth="1"/>
    <col min="5" max="5" width="12" customWidth="1"/>
  </cols>
  <sheetData>
    <row r="1" spans="1:8" ht="32.1" customHeight="1">
      <c r="A1" s="27" t="s">
        <v>0</v>
      </c>
      <c r="B1" s="27"/>
      <c r="C1" s="27"/>
      <c r="D1" s="27"/>
      <c r="E1" s="27"/>
      <c r="F1" s="27"/>
      <c r="G1" s="27"/>
      <c r="H1" s="27"/>
    </row>
    <row r="3" spans="1:8" ht="15">
      <c r="A3" s="1" t="s">
        <v>1</v>
      </c>
      <c r="B3" s="3" t="s">
        <v>2</v>
      </c>
      <c r="D3" s="1" t="s">
        <v>3</v>
      </c>
      <c r="E3" s="3" t="s">
        <v>4</v>
      </c>
    </row>
    <row r="4" spans="1:8" ht="15">
      <c r="A4" s="19" t="s">
        <v>5</v>
      </c>
      <c r="B4" s="6">
        <f>COUNTA('Casos de prueba'!A5:A94)</f>
        <v>17</v>
      </c>
      <c r="D4" s="4" t="s">
        <v>6</v>
      </c>
      <c r="E4" s="6">
        <f>COUNTIF('Casos de prueba'!E5:E94,D4)</f>
        <v>9</v>
      </c>
    </row>
    <row r="5" spans="1:8" ht="15">
      <c r="A5" s="20" t="s">
        <v>7</v>
      </c>
      <c r="B5" s="9">
        <f>COUNTIF('Casos de prueba'!E5:E94,"Crítica")</f>
        <v>9</v>
      </c>
      <c r="D5" s="7" t="s">
        <v>8</v>
      </c>
      <c r="E5" s="9">
        <f>COUNTIF('Casos de prueba'!E6:E95,D5)</f>
        <v>7</v>
      </c>
    </row>
    <row r="6" spans="1:8" ht="15">
      <c r="A6" s="20" t="s">
        <v>9</v>
      </c>
      <c r="B6" s="9">
        <f>COUNTIF('Casos de prueba'!E5:E94,"Alta")</f>
        <v>7</v>
      </c>
      <c r="D6" s="7" t="s">
        <v>10</v>
      </c>
      <c r="E6" s="9">
        <f>COUNTIF('Casos de prueba'!E7:E96,D6)</f>
        <v>0</v>
      </c>
    </row>
    <row r="7" spans="1:8" ht="15">
      <c r="A7" s="20" t="s">
        <v>11</v>
      </c>
      <c r="B7" s="9">
        <f>COUNTIF('Casos de prueba'!L5:L94,"Ejecutado")</f>
        <v>0</v>
      </c>
      <c r="D7" s="10" t="s">
        <v>12</v>
      </c>
      <c r="E7" s="12">
        <f>COUNTIF('Casos de prueba'!E8:E97,D7)</f>
        <v>0</v>
      </c>
    </row>
    <row r="8" spans="1:8" ht="15">
      <c r="A8" s="20" t="s">
        <v>13</v>
      </c>
      <c r="B8" s="9">
        <f>COUNTIF('Casos de prueba'!M5:M94,"Aprobado")</f>
        <v>0</v>
      </c>
    </row>
    <row r="9" spans="1:8" ht="15">
      <c r="A9" s="20" t="s">
        <v>14</v>
      </c>
      <c r="B9" s="9">
        <f>COUNTIF('Casos de prueba'!M5:M94,"Fallido")</f>
        <v>0</v>
      </c>
    </row>
    <row r="10" spans="1:8" ht="15">
      <c r="A10" s="20" t="s">
        <v>15</v>
      </c>
      <c r="B10" s="9">
        <f>COUNTIF('Casos de prueba'!L5:L94,"Bloqueado")</f>
        <v>0</v>
      </c>
    </row>
    <row r="11" spans="1:8" ht="15">
      <c r="A11" s="21" t="s">
        <v>16</v>
      </c>
      <c r="B11" s="18">
        <f>IF(B7=0,0,B8/B7)</f>
        <v>0</v>
      </c>
    </row>
    <row r="14" spans="1:8" ht="15">
      <c r="A14" s="29" t="s">
        <v>17</v>
      </c>
      <c r="B14" s="29"/>
      <c r="C14" s="29"/>
      <c r="D14" s="29"/>
      <c r="E14" s="29"/>
      <c r="F14" s="29"/>
      <c r="G14" s="29"/>
      <c r="H14" s="29"/>
    </row>
    <row r="15" spans="1:8">
      <c r="A15" s="13" t="s">
        <v>18</v>
      </c>
      <c r="B15" s="6" t="s">
        <v>19</v>
      </c>
    </row>
    <row r="16" spans="1:8">
      <c r="A16" s="15" t="s">
        <v>20</v>
      </c>
      <c r="B16" s="9" t="s">
        <v>21</v>
      </c>
    </row>
    <row r="17" spans="1:2" ht="28.5">
      <c r="A17" s="15" t="s">
        <v>22</v>
      </c>
      <c r="B17" s="9" t="s">
        <v>23</v>
      </c>
    </row>
    <row r="18" spans="1:2">
      <c r="A18" s="17" t="s">
        <v>24</v>
      </c>
      <c r="B18" s="12" t="s">
        <v>25</v>
      </c>
    </row>
  </sheetData>
  <mergeCells count="2">
    <mergeCell ref="A1:H1"/>
    <mergeCell ref="A14:H14"/>
  </mergeCells>
  <conditionalFormatting sqref="B8:B9">
    <cfRule type="dataBar" priority="1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{DA12C461-A72D-FADC-ED1B-42B2A151D9C7}</x14:id>
        </ext>
      </extLst>
    </cfRule>
  </conditionalFormatting>
  <conditionalFormatting sqref="B11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headerFooter>
    <oddHeader>&amp;R&amp;"Century Gothic"&amp;9&amp;K5514B4 General&amp;1#_x000D_</oddHeader>
    <oddFooter>&amp;R_x000D_&amp;1#&amp;"Century Gothic"&amp;9&amp;K5514B4 General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12C461-A72D-FADC-ED1B-42B2A151D9C7}">
            <x14:dataBar>
              <x14:cfvo type="min"/>
              <x14:cfvo type="max"/>
              <x14:negativeFillColor auto="1"/>
              <x14:axisColor auto="1"/>
            </x14:dataBar>
          </x14:cfRule>
          <xm:sqref>B8:B9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C13" sqref="C13"/>
    </sheetView>
  </sheetViews>
  <sheetFormatPr baseColWidth="10" defaultColWidth="9" defaultRowHeight="14.25"/>
  <cols>
    <col min="1" max="5" width="18" customWidth="1"/>
  </cols>
  <sheetData>
    <row r="1" spans="1:5" ht="15">
      <c r="A1" s="1" t="s">
        <v>31</v>
      </c>
      <c r="B1" s="2" t="s">
        <v>3</v>
      </c>
      <c r="C1" s="2" t="s">
        <v>35</v>
      </c>
      <c r="D1" s="2" t="s">
        <v>101</v>
      </c>
      <c r="E1" s="3" t="s">
        <v>102</v>
      </c>
    </row>
    <row r="2" spans="1:5">
      <c r="A2" s="7" t="s">
        <v>42</v>
      </c>
      <c r="B2" s="8" t="s">
        <v>6</v>
      </c>
      <c r="C2" s="8" t="s">
        <v>45</v>
      </c>
      <c r="D2" s="8" t="s">
        <v>46</v>
      </c>
      <c r="E2" s="9" t="s">
        <v>47</v>
      </c>
    </row>
    <row r="3" spans="1:5">
      <c r="A3" s="7" t="s">
        <v>62</v>
      </c>
      <c r="B3" s="8" t="s">
        <v>8</v>
      </c>
      <c r="C3" s="8" t="s">
        <v>103</v>
      </c>
      <c r="D3" s="8" t="s">
        <v>104</v>
      </c>
      <c r="E3" s="9" t="s">
        <v>6</v>
      </c>
    </row>
    <row r="4" spans="1:5">
      <c r="A4" s="7" t="s">
        <v>85</v>
      </c>
      <c r="B4" s="8" t="s">
        <v>10</v>
      </c>
      <c r="C4" s="8" t="s">
        <v>105</v>
      </c>
      <c r="D4" s="8" t="s">
        <v>106</v>
      </c>
      <c r="E4" s="9" t="s">
        <v>8</v>
      </c>
    </row>
    <row r="5" spans="1:5">
      <c r="A5" s="7" t="s">
        <v>92</v>
      </c>
      <c r="B5" s="8" t="s">
        <v>12</v>
      </c>
      <c r="C5" s="8" t="s">
        <v>107</v>
      </c>
      <c r="D5" s="8" t="s">
        <v>108</v>
      </c>
      <c r="E5" s="9" t="s">
        <v>10</v>
      </c>
    </row>
    <row r="6" spans="1:5">
      <c r="A6" s="7" t="s">
        <v>99</v>
      </c>
      <c r="B6" s="8"/>
      <c r="C6" s="8"/>
      <c r="D6" s="8"/>
      <c r="E6" s="9" t="s">
        <v>12</v>
      </c>
    </row>
    <row r="7" spans="1:5">
      <c r="A7" s="7" t="s">
        <v>100</v>
      </c>
      <c r="B7" s="8"/>
      <c r="C7" s="8"/>
      <c r="D7" s="8"/>
      <c r="E7" s="9"/>
    </row>
    <row r="8" spans="1:5">
      <c r="A8" s="10" t="s">
        <v>109</v>
      </c>
      <c r="B8" s="11"/>
      <c r="C8" s="11"/>
      <c r="D8" s="11"/>
      <c r="E8" s="12"/>
    </row>
  </sheetData>
  <pageMargins left="0.7" right="0.7" top="0.75" bottom="0.75" header="0.3" footer="0.3"/>
  <headerFooter>
    <oddHeader>&amp;R&amp;"Century Gothic"&amp;9&amp;K5514B4 General&amp;1#_x000D_</oddHeader>
    <oddFooter>&amp;R_x000D_&amp;1#&amp;"Century Gothic"&amp;9&amp;K5514B4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Casos de prueba</vt:lpstr>
      <vt:lpstr>Resumen</vt:lpstr>
      <vt:lpstr>desplegables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Guillermo Ferrari del Sel (J6AE R)</cp:lastModifiedBy>
  <dcterms:modified xsi:type="dcterms:W3CDTF">2026-08-26T21:25:27Z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818d02-8d25-4bb9-b27c-e4db64670887_Enabled">
    <vt:lpwstr>true</vt:lpwstr>
  </property>
  <property fmtid="{D5CDD505-2E9C-101B-9397-08002B2CF9AE}" pid="3" name="MSIP_Label_55818d02-8d25-4bb9-b27c-e4db64670887_SetDate">
    <vt:lpwstr>2026-08-07T00:42:59Z</vt:lpwstr>
  </property>
  <property fmtid="{D5CDD505-2E9C-101B-9397-08002B2CF9AE}" pid="4" name="MSIP_Label_55818d02-8d25-4bb9-b27c-e4db64670887_Method">
    <vt:lpwstr>Standard</vt:lpwstr>
  </property>
  <property fmtid="{D5CDD505-2E9C-101B-9397-08002B2CF9AE}" pid="5" name="MSIP_Label_55818d02-8d25-4bb9-b27c-e4db64670887_Name">
    <vt:lpwstr>55818d02-8d25-4bb9-b27c-e4db64670887</vt:lpwstr>
  </property>
  <property fmtid="{D5CDD505-2E9C-101B-9397-08002B2CF9AE}" pid="6" name="MSIP_Label_55818d02-8d25-4bb9-b27c-e4db64670887_SiteId">
    <vt:lpwstr>a7f35688-9c00-4d5e-ba41-29f146377ab0</vt:lpwstr>
  </property>
  <property fmtid="{D5CDD505-2E9C-101B-9397-08002B2CF9AE}" pid="7" name="MSIP_Label_55818d02-8d25-4bb9-b27c-e4db64670887_ActionId">
    <vt:lpwstr>25a81914-b0cd-4a4f-afbe-2e56a424801f</vt:lpwstr>
  </property>
  <property fmtid="{D5CDD505-2E9C-101B-9397-08002B2CF9AE}" pid="8" name="MSIP_Label_55818d02-8d25-4bb9-b27c-e4db64670887_ContentBits">
    <vt:lpwstr>3</vt:lpwstr>
  </property>
  <property fmtid="{D5CDD505-2E9C-101B-9397-08002B2CF9AE}" pid="9" name="MSIP_Label_55818d02-8d25-4bb9-b27c-e4db64670887_Tag">
    <vt:lpwstr>10, 3, 0, 1</vt:lpwstr>
  </property>
</Properties>
</file>